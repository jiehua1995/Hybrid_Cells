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GitHub_mine\hybrid\FigS10\"/>
    </mc:Choice>
  </mc:AlternateContent>
  <xr:revisionPtr revIDLastSave="0" documentId="13_ncr:1_{0A13366F-1B6D-42D0-A2E4-658336525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tifs" sheetId="1" r:id="rId1"/>
    <sheet name="BUSCO_ge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16" i="1"/>
  <c r="D17" i="1"/>
  <c r="D14" i="1"/>
  <c r="D15" i="1"/>
  <c r="D12" i="1"/>
  <c r="D13" i="1"/>
  <c r="D10" i="1"/>
  <c r="D11" i="1"/>
  <c r="D8" i="1"/>
  <c r="D9" i="1"/>
  <c r="D6" i="1"/>
  <c r="D7" i="1"/>
  <c r="D3" i="1"/>
  <c r="D4" i="1"/>
  <c r="D5" i="1"/>
  <c r="D2" i="1"/>
</calcChain>
</file>

<file path=xl/sharedStrings.xml><?xml version="1.0" encoding="utf-8"?>
<sst xmlns="http://schemas.openxmlformats.org/spreadsheetml/2006/main" count="83" uniqueCount="60">
  <si>
    <t>motif</t>
    <phoneticPr fontId="1" type="noConversion"/>
  </si>
  <si>
    <t>sequence</t>
    <phoneticPr fontId="1" type="noConversion"/>
  </si>
  <si>
    <t>length</t>
    <phoneticPr fontId="1" type="noConversion"/>
  </si>
  <si>
    <t>AATTCCGATAACGAACGAGACTCAAATATATTAAATAGATATCTTCAGGATTATGGTGCTGAAGCTTATGTAGCCTTCATTCATGGTGGCAGTAAAATGTTTATTGTGTTTGAATGTGTTTATGTAAGTGGAGCCGTACCTGTTGGTTTG</t>
    <phoneticPr fontId="1" type="noConversion"/>
  </si>
  <si>
    <t>AATTCCGATAACGAACGAGACTCAAATATATTAAATAGATATCTTCAGGATTATGGTGCTGAAGCTTATGTAGCCTTCATTCATGTTGGCAGTAAAATGCTTATTGTGTTTGAATGTGTTTATGTAAGTGGAGCCGTACCTGTTGGTTTG</t>
    <phoneticPr fontId="1" type="noConversion"/>
  </si>
  <si>
    <t>28S_dmel</t>
    <phoneticPr fontId="1" type="noConversion"/>
  </si>
  <si>
    <t>28S_dsim</t>
    <phoneticPr fontId="1" type="noConversion"/>
  </si>
  <si>
    <t>18S_dsim</t>
    <phoneticPr fontId="1" type="noConversion"/>
  </si>
  <si>
    <t>OG0005877</t>
  </si>
  <si>
    <t>Orthogroup</t>
  </si>
  <si>
    <t>isoquant_split.mel.pep.nostar</t>
  </si>
  <si>
    <t>isoquant_split.sim.pep.nostar</t>
  </si>
  <si>
    <t>OG0009779</t>
  </si>
  <si>
    <t>OG0003790</t>
  </si>
  <si>
    <t>FBgn0086384</t>
  </si>
  <si>
    <t>LOC27208128</t>
  </si>
  <si>
    <t>OG0017097</t>
  </si>
  <si>
    <t>LOC27207490</t>
  </si>
  <si>
    <t>OG0009785</t>
  </si>
  <si>
    <t>FBgn0031092</t>
  </si>
  <si>
    <t>LOC27208782</t>
  </si>
  <si>
    <t>OG0001794</t>
  </si>
  <si>
    <t>LOC6726523</t>
  </si>
  <si>
    <t>LOC6726456</t>
    <phoneticPr fontId="1" type="noConversion"/>
  </si>
  <si>
    <t>FBgn0000257</t>
    <phoneticPr fontId="1" type="noConversion"/>
  </si>
  <si>
    <t>FBgn0031044</t>
    <phoneticPr fontId="1" type="noConversion"/>
  </si>
  <si>
    <t>LOC27207129</t>
    <phoneticPr fontId="1" type="noConversion"/>
  </si>
  <si>
    <t>OG0009777</t>
    <phoneticPr fontId="1" type="noConversion"/>
  </si>
  <si>
    <t>group</t>
    <phoneticPr fontId="1" type="noConversion"/>
  </si>
  <si>
    <t>28S</t>
    <phoneticPr fontId="1" type="noConversion"/>
  </si>
  <si>
    <t>18S</t>
    <phoneticPr fontId="1" type="noConversion"/>
  </si>
  <si>
    <t>FBgn0031050</t>
    <phoneticPr fontId="1" type="noConversion"/>
  </si>
  <si>
    <t>LOC6740241</t>
    <phoneticPr fontId="1" type="noConversion"/>
  </si>
  <si>
    <t>FBgn0086384</t>
    <phoneticPr fontId="1" type="noConversion"/>
  </si>
  <si>
    <t>LOC27208128</t>
    <phoneticPr fontId="1" type="noConversion"/>
  </si>
  <si>
    <t>FBgn0010380</t>
    <phoneticPr fontId="1" type="noConversion"/>
  </si>
  <si>
    <t>FBgn0031092</t>
    <phoneticPr fontId="1" type="noConversion"/>
  </si>
  <si>
    <t>LOC27208782</t>
    <phoneticPr fontId="1" type="noConversion"/>
  </si>
  <si>
    <t>TCGTTCTGTCTGCCGCTGGAAAGCACTTCACCGCCGGCATTGACCTCAACGACATGATGAACCTGGGCCAAACGCTGGCCGAGACCGATGACTACGCCCGCAAGGGCGTCATCATGGAGCGCATGATCAAGGTGTACCAGGACTCGATCA</t>
  </si>
  <si>
    <t>TCGTTTTGTCCGCCTCCGGAAAGCACTTCACCGCCGGCATCGACCTCAACGACATGATAAACGTGGGCCAAACGCTGGCCGAGACCGATGACTACGCCCGCAAGGGCGTCTCCATGGAGCGAATGATCAAGGTGTACCAGGACTCAATCA</t>
  </si>
  <si>
    <t>FBgn0023177</t>
    <phoneticPr fontId="1" type="noConversion"/>
  </si>
  <si>
    <t>OG0001794</t>
    <phoneticPr fontId="1" type="noConversion"/>
  </si>
  <si>
    <t>LOC6726523</t>
    <phoneticPr fontId="1" type="noConversion"/>
  </si>
  <si>
    <t>AATCATCTAGGGAATAGAAATAGGAACTGCCAGCGTTCAAAAGTGAAGCGAACGCGAATAGCAACTTATGGTGTAAAACAAAAAAGATGTAACATAAACGTAAGCTAGGAGCTAGAGCTGCCCGGCACCGGTCCACGTTCAGTTGCAATT</t>
    <phoneticPr fontId="1" type="noConversion"/>
  </si>
  <si>
    <t>AATCATCTAGGGAATAGAAATAGAAACTGCCAGCCTGCAAAAGCGAAGCGAACGCGAATAGCAACTGATGGTGTAAAACAAAAAATATGTAACATAAACGTAAGCTAGGGTAGAGCTGCCGGACACAGGTCCACGTTCAGTTAGACTT</t>
    <phoneticPr fontId="1" type="noConversion"/>
  </si>
  <si>
    <t>18S_dmel</t>
    <phoneticPr fontId="1" type="noConversion"/>
  </si>
  <si>
    <t>TCATCATTAAAATTGTAATATTTAAATAATATTATGAGAATAGTGTGCATTTTTTCCATATAAGGACATTGTAATCTATTAGCATATACCAAATTTATCATAAAATATAACTTATAGTTTATTCCAATTAAATTGCTTGCATTTTAACA</t>
  </si>
  <si>
    <t>TCATCATTAAAATTGTAATATTTAAATAATATTATTAAGAATAATGTGCATTTTTTCCATATAAGGACATTGTAATCTATTAGCATATCCCAAATTTATCATAAAATATAACTTATAGTTTATTCCAATTAAATTGCTTGCATTTTAACA</t>
  </si>
  <si>
    <t>FBgn0010380</t>
  </si>
  <si>
    <t>TCATCAAGGACATCTTCCGCAAGTACCCCAACAAGTACGAGAGCATTATCAGCACGCTGTGCGAGAATCTGGACACTCTGGACGAGCCGGAGGCACGCGCATCAATGGTTTGGATCATTGGCGAGTACGCAGAGCGCATTGACAACGCGG</t>
  </si>
  <si>
    <t>TCATCAAGGACATCTTCCGCAAGTACCCCAACAAGTACGAGAGCATTATTAGCACGCTGTGCGAGAACCTGGACACTCTGGACGAGCCGGAGGCGCGAGCATCGATGGTTTGGATCATTGGCGAGTACGCAGAGCGCATTGACAACGCTG</t>
  </si>
  <si>
    <t>s</t>
  </si>
  <si>
    <t>CGCCACTCTCAACCAGCTGCCGCTTGATCTCCGCGTGGATGGCGCTGCCTCCGTAGCTCTGATCCTTGAAGGCGGCCATGATTTGCACCCCGCTGAAGACGGGCATAACGCTGGTCTCGCTGTAGCCAACGTCCACCACAAGGGCAGTGG</t>
  </si>
  <si>
    <t>CGCCACTCTCCACCAGCTGCCGCTTGATCTCCGCGTGGATGGCGCTGCCTCCGTAGCTTTGATCCTTGAAGGCGCCCATGATCTGCACCCCGCTGAAGACGGGCATAACGCTGGTCTCGCTGTACCCGACGTCCACCACCAGGGCAGTCG</t>
  </si>
  <si>
    <t>GCGTTAGATGCAATTGGATTGGAGTGGGAACTGAGTGCTCTTGTGGGCAATTCGTGATAACCTGTTGCGTGCAAAGGACTTGTTGCTCCTGCTAATCTGATTCTTGGTCCTTCTGGTGCTCCTGTGCCATCTAGTGGCACG</t>
    <phoneticPr fontId="1" type="noConversion"/>
  </si>
  <si>
    <t>GCGTGAGATGCAATTTGATTGGAGTCGGAACTGAGTGCTCTTGTGGGCAATTCGTGATAACCTGTTGCGTGCAGAGGACTTGTTGCGGCCCTTGCTCCTGCTACTCTGATTCTTGGTCCTTCTGGTGCTCCTGTGCCAGCTAGTGGCCCG</t>
    <phoneticPr fontId="1" type="noConversion"/>
  </si>
  <si>
    <t>CGAGCTGGTGCAGCAGCTGGAGCGCATTGAAGGTTCCAAGGTAATTGTGCTGGACGAGACCATGATCGGACCGCTGGACTTGGTTACCCGGCCAAAGTTATTCGCTGATCGAGGCATCCGTCTGCTGGCCCTCAAGCCGGAGCTTCACCT</t>
    <phoneticPr fontId="1" type="noConversion"/>
  </si>
  <si>
    <t>CGAGCTGCTGCAGCAGCTGGACCGCATTGAGGGTTCCAAGGTTATTGTGCTGGACGAGACCATGATCGGACCGCTGGACTTGGTTACCCGGCCAAAGTTATTCGCTGATCGAGGCATCCGTCTGCTGGCCCTCAAGCCGGAGCTTCATTT</t>
    <phoneticPr fontId="1" type="noConversion"/>
  </si>
  <si>
    <t>ATGGCATCATCAGAGACGGGACAATTGGACTCCCTTGTCGGCTGGCAAAGAACGGCAATCGCCCACCTAAACAAAAAGCAATGGAGGCTTGGATTGATTGATCAGTGCTTATCAGTGCTGGCCAACATTGATGTCCTACATATATACATA</t>
    <phoneticPr fontId="1" type="noConversion"/>
  </si>
  <si>
    <t>ATGGCATCATTGGAGGCGGGACAATTGGACTCCCTTGTCGGCTGGCATAGATCGGCAATCGCCCACCTAAACAGAAGTCAATGGAGGCTTGGATTGATTGATCGGTGCTCATCAGTACTGGCCTACATA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</si>
</sst>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6" sqref="C6"/>
    </sheetView>
  </sheetViews>
  <sheetFormatPr defaultRowHeight="13.8" x14ac:dyDescent="0.25"/>
  <cols>
    <col min="1" max="1" width="15.33203125" customWidth="1"/>
    <col min="2" max="2" width="17" customWidth="1"/>
    <col min="3" max="3" width="197.33203125" customWidth="1"/>
  </cols>
  <sheetData>
    <row r="1" spans="1:4" x14ac:dyDescent="0.25">
      <c r="A1" s="3" t="s">
        <v>28</v>
      </c>
      <c r="B1" s="3" t="s">
        <v>0</v>
      </c>
      <c r="C1" s="3" t="s">
        <v>1</v>
      </c>
      <c r="D1" s="3" t="s">
        <v>2</v>
      </c>
    </row>
    <row r="2" spans="1:4" x14ac:dyDescent="0.25">
      <c r="A2" t="s">
        <v>29</v>
      </c>
      <c r="B2" t="s">
        <v>6</v>
      </c>
      <c r="C2" t="s">
        <v>47</v>
      </c>
      <c r="D2">
        <f>LEN(C2)</f>
        <v>150</v>
      </c>
    </row>
    <row r="3" spans="1:4" x14ac:dyDescent="0.25">
      <c r="A3" t="s">
        <v>30</v>
      </c>
      <c r="B3" t="s">
        <v>7</v>
      </c>
      <c r="C3" t="s">
        <v>3</v>
      </c>
      <c r="D3">
        <f t="shared" ref="D3:D19" si="0">LEN(C3)</f>
        <v>150</v>
      </c>
    </row>
    <row r="4" spans="1:4" x14ac:dyDescent="0.25">
      <c r="A4" t="s">
        <v>29</v>
      </c>
      <c r="B4" t="s">
        <v>5</v>
      </c>
      <c r="C4" t="s">
        <v>46</v>
      </c>
      <c r="D4">
        <f t="shared" si="0"/>
        <v>149</v>
      </c>
    </row>
    <row r="5" spans="1:4" x14ac:dyDescent="0.25">
      <c r="A5" t="s">
        <v>30</v>
      </c>
      <c r="B5" t="s">
        <v>45</v>
      </c>
      <c r="C5" t="s">
        <v>4</v>
      </c>
      <c r="D5">
        <f t="shared" si="0"/>
        <v>150</v>
      </c>
    </row>
    <row r="6" spans="1:4" x14ac:dyDescent="0.25">
      <c r="A6" t="s">
        <v>27</v>
      </c>
      <c r="B6" t="s">
        <v>25</v>
      </c>
      <c r="C6" t="s">
        <v>58</v>
      </c>
      <c r="D6">
        <f t="shared" si="0"/>
        <v>150</v>
      </c>
    </row>
    <row r="7" spans="1:4" x14ac:dyDescent="0.25">
      <c r="A7" t="s">
        <v>27</v>
      </c>
      <c r="B7" t="s">
        <v>26</v>
      </c>
      <c r="C7" t="s">
        <v>59</v>
      </c>
      <c r="D7">
        <f t="shared" si="0"/>
        <v>129</v>
      </c>
    </row>
    <row r="8" spans="1:4" x14ac:dyDescent="0.25">
      <c r="A8" t="s">
        <v>8</v>
      </c>
      <c r="B8" t="s">
        <v>24</v>
      </c>
      <c r="C8" t="s">
        <v>57</v>
      </c>
      <c r="D8">
        <f t="shared" si="0"/>
        <v>150</v>
      </c>
    </row>
    <row r="9" spans="1:4" x14ac:dyDescent="0.25">
      <c r="A9" t="s">
        <v>8</v>
      </c>
      <c r="B9" t="s">
        <v>23</v>
      </c>
      <c r="C9" t="s">
        <v>56</v>
      </c>
      <c r="D9">
        <f t="shared" si="0"/>
        <v>150</v>
      </c>
    </row>
    <row r="10" spans="1:4" x14ac:dyDescent="0.25">
      <c r="A10" t="s">
        <v>12</v>
      </c>
      <c r="B10" t="s">
        <v>31</v>
      </c>
      <c r="C10" t="s">
        <v>52</v>
      </c>
      <c r="D10">
        <f t="shared" si="0"/>
        <v>150</v>
      </c>
    </row>
    <row r="11" spans="1:4" x14ac:dyDescent="0.25">
      <c r="A11" t="s">
        <v>12</v>
      </c>
      <c r="B11" t="s">
        <v>32</v>
      </c>
      <c r="C11" t="s">
        <v>53</v>
      </c>
      <c r="D11">
        <f t="shared" si="0"/>
        <v>150</v>
      </c>
    </row>
    <row r="12" spans="1:4" x14ac:dyDescent="0.25">
      <c r="A12" t="s">
        <v>13</v>
      </c>
      <c r="B12" t="s">
        <v>33</v>
      </c>
      <c r="C12" t="s">
        <v>54</v>
      </c>
      <c r="D12">
        <f t="shared" si="0"/>
        <v>141</v>
      </c>
    </row>
    <row r="13" spans="1:4" x14ac:dyDescent="0.25">
      <c r="A13" t="s">
        <v>13</v>
      </c>
      <c r="B13" t="s">
        <v>34</v>
      </c>
      <c r="C13" t="s">
        <v>55</v>
      </c>
      <c r="D13">
        <f t="shared" si="0"/>
        <v>150</v>
      </c>
    </row>
    <row r="14" spans="1:4" x14ac:dyDescent="0.25">
      <c r="A14" t="s">
        <v>18</v>
      </c>
      <c r="B14" t="s">
        <v>36</v>
      </c>
      <c r="C14" t="s">
        <v>39</v>
      </c>
      <c r="D14">
        <f t="shared" si="0"/>
        <v>150</v>
      </c>
    </row>
    <row r="15" spans="1:4" x14ac:dyDescent="0.25">
      <c r="A15" t="s">
        <v>18</v>
      </c>
      <c r="B15" t="s">
        <v>37</v>
      </c>
      <c r="C15" t="s">
        <v>38</v>
      </c>
      <c r="D15">
        <f t="shared" si="0"/>
        <v>150</v>
      </c>
    </row>
    <row r="16" spans="1:4" x14ac:dyDescent="0.25">
      <c r="A16" t="s">
        <v>21</v>
      </c>
      <c r="B16" t="s">
        <v>40</v>
      </c>
      <c r="C16" t="s">
        <v>44</v>
      </c>
      <c r="D16">
        <f t="shared" si="0"/>
        <v>148</v>
      </c>
    </row>
    <row r="17" spans="1:4" x14ac:dyDescent="0.25">
      <c r="A17" t="s">
        <v>21</v>
      </c>
      <c r="B17" t="s">
        <v>42</v>
      </c>
      <c r="C17" t="s">
        <v>43</v>
      </c>
      <c r="D17">
        <f t="shared" si="0"/>
        <v>150</v>
      </c>
    </row>
    <row r="18" spans="1:4" x14ac:dyDescent="0.25">
      <c r="A18" t="s">
        <v>16</v>
      </c>
      <c r="B18" t="s">
        <v>48</v>
      </c>
      <c r="C18" t="s">
        <v>49</v>
      </c>
      <c r="D18">
        <f t="shared" si="0"/>
        <v>150</v>
      </c>
    </row>
    <row r="19" spans="1:4" x14ac:dyDescent="0.25">
      <c r="A19" t="s">
        <v>16</v>
      </c>
      <c r="B19" t="s">
        <v>17</v>
      </c>
      <c r="C19" t="s">
        <v>50</v>
      </c>
      <c r="D19">
        <f t="shared" si="0"/>
        <v>150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C2A9-5C61-4AA0-9B73-5473D3C0AA8D}">
  <dimension ref="A1:G11"/>
  <sheetViews>
    <sheetView workbookViewId="0">
      <selection activeCell="E13" sqref="E13"/>
    </sheetView>
  </sheetViews>
  <sheetFormatPr defaultRowHeight="13.8" x14ac:dyDescent="0.25"/>
  <cols>
    <col min="1" max="1" width="13.6640625" customWidth="1"/>
    <col min="2" max="2" width="26.44140625" customWidth="1"/>
    <col min="3" max="3" width="31" customWidth="1"/>
  </cols>
  <sheetData>
    <row r="1" spans="1:7" s="2" customFormat="1" x14ac:dyDescent="0.25">
      <c r="A1" s="2" t="s">
        <v>9</v>
      </c>
      <c r="B1" s="2" t="s">
        <v>10</v>
      </c>
      <c r="C1" s="2" t="s">
        <v>11</v>
      </c>
    </row>
    <row r="2" spans="1:7" s="1" customFormat="1" x14ac:dyDescent="0.25">
      <c r="A2" s="1" t="s">
        <v>8</v>
      </c>
      <c r="B2" s="1" t="s">
        <v>24</v>
      </c>
      <c r="C2" s="1" t="s">
        <v>23</v>
      </c>
    </row>
    <row r="3" spans="1:7" s="1" customFormat="1" x14ac:dyDescent="0.25">
      <c r="A3" s="1" t="s">
        <v>27</v>
      </c>
      <c r="B3" s="1" t="s">
        <v>25</v>
      </c>
      <c r="C3" s="1" t="s">
        <v>26</v>
      </c>
    </row>
    <row r="4" spans="1:7" s="1" customFormat="1" x14ac:dyDescent="0.25">
      <c r="A4" s="1" t="s">
        <v>12</v>
      </c>
      <c r="B4" s="1" t="s">
        <v>31</v>
      </c>
      <c r="C4" s="1" t="s">
        <v>32</v>
      </c>
    </row>
    <row r="5" spans="1:7" s="1" customFormat="1" x14ac:dyDescent="0.25">
      <c r="A5" s="1" t="s">
        <v>13</v>
      </c>
      <c r="B5" s="1" t="s">
        <v>14</v>
      </c>
      <c r="C5" s="1" t="s">
        <v>15</v>
      </c>
    </row>
    <row r="6" spans="1:7" s="1" customFormat="1" x14ac:dyDescent="0.25">
      <c r="A6" s="1" t="s">
        <v>16</v>
      </c>
      <c r="B6" s="1" t="s">
        <v>35</v>
      </c>
      <c r="C6" s="1" t="s">
        <v>17</v>
      </c>
    </row>
    <row r="7" spans="1:7" s="1" customFormat="1" x14ac:dyDescent="0.25">
      <c r="A7" s="1" t="s">
        <v>18</v>
      </c>
      <c r="B7" s="1" t="s">
        <v>19</v>
      </c>
      <c r="C7" s="1" t="s">
        <v>20</v>
      </c>
    </row>
    <row r="8" spans="1:7" s="1" customFormat="1" x14ac:dyDescent="0.25">
      <c r="A8" s="1" t="s">
        <v>41</v>
      </c>
      <c r="B8" s="1" t="s">
        <v>40</v>
      </c>
      <c r="C8" s="1" t="s">
        <v>22</v>
      </c>
    </row>
    <row r="11" spans="1:7" x14ac:dyDescent="0.25">
      <c r="G11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motifs</vt:lpstr>
      <vt:lpstr>BUSCO_genes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Hua</dc:creator>
  <cp:lastModifiedBy>Hua, Jie</cp:lastModifiedBy>
  <dcterms:created xsi:type="dcterms:W3CDTF">2015-06-05T18:19:34Z</dcterms:created>
  <dcterms:modified xsi:type="dcterms:W3CDTF">2026-06-28T08:43:49Z</dcterms:modified>
</cp:coreProperties>
</file>